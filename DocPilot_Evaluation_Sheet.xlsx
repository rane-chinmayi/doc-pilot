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1add5b742a14e55e/Desktop/"/>
    </mc:Choice>
  </mc:AlternateContent>
  <xr:revisionPtr revIDLastSave="0" documentId="11_B8C92B2F7ECF0C798864D65AEA280E11B97B9956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valuation" sheetId="1" r:id="rId1"/>
    <sheet name="Summary" sheetId="2" r:id="rId2"/>
    <sheet name="Instruc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2" l="1"/>
  <c r="C32" i="2"/>
  <c r="C31" i="2"/>
  <c r="C30" i="2"/>
  <c r="C29" i="2"/>
  <c r="C28" i="2"/>
  <c r="C26" i="2"/>
  <c r="C25" i="2"/>
  <c r="C24" i="2"/>
  <c r="C23" i="2"/>
  <c r="C22" i="2"/>
  <c r="C21" i="2"/>
  <c r="C20" i="2"/>
  <c r="C19" i="2"/>
  <c r="C18" i="2"/>
  <c r="C15" i="2"/>
  <c r="C16" i="2" s="1"/>
  <c r="C14" i="2"/>
  <c r="C13" i="2"/>
  <c r="C12" i="2"/>
  <c r="C10" i="2"/>
  <c r="C9" i="2"/>
  <c r="C8" i="2"/>
  <c r="C7" i="2"/>
  <c r="C6" i="2"/>
  <c r="C5" i="2"/>
</calcChain>
</file>

<file path=xl/sharedStrings.xml><?xml version="1.0" encoding="utf-8"?>
<sst xmlns="http://schemas.openxmlformats.org/spreadsheetml/2006/main" count="286" uniqueCount="144">
  <si>
    <t>DocPilot — Evaluation Sheet</t>
  </si>
  <si>
    <t>Evaluate DocPilot answers across 50 questions. Mark each answer ✅ Correct, ⚠️ Partially Correct, or ❌ Incorrect.</t>
  </si>
  <si>
    <t>#</t>
  </si>
  <si>
    <t>Question</t>
  </si>
  <si>
    <t>Tool</t>
  </si>
  <si>
    <t>Confidence (DocPilot)</t>
  </si>
  <si>
    <t>Response Time (s)</t>
  </si>
  <si>
    <t>Correct?</t>
  </si>
  <si>
    <t>Notes</t>
  </si>
  <si>
    <t>Manual Search Time (s)</t>
  </si>
  <si>
    <t>How do I build a funnel in Amplitude?</t>
  </si>
  <si>
    <t>Amplitude</t>
  </si>
  <si>
    <t>High</t>
  </si>
  <si>
    <t>Correct</t>
  </si>
  <si>
    <t>What is a behavioral cohort in Amplitude?</t>
  </si>
  <si>
    <t>How do I track retention in Amplitude?</t>
  </si>
  <si>
    <t>What is event segmentation?</t>
  </si>
  <si>
    <t>Medium</t>
  </si>
  <si>
    <t>How do I look up a specific user in Amplitude?</t>
  </si>
  <si>
    <t>Better than the docs. It actually summarized the exact steps</t>
  </si>
  <si>
    <t>What is a conversion window in a funnel?</t>
  </si>
  <si>
    <t>Low</t>
  </si>
  <si>
    <t>Incorrect</t>
  </si>
  <si>
    <t>It couldn't find it in docs. The answer is a bit hidden - "Set your conversion window here, which is the maximum length of time allowed for a converting user to take between entering a funnel and completing it." I found it using Ctrl+F.</t>
  </si>
  <si>
    <t>How do I exclude users from a funnel step?</t>
  </si>
  <si>
    <t>I couldn't find the answer manually and I gave up</t>
  </si>
  <si>
    <t>What is the difference between this order and exact order in funnels?</t>
  </si>
  <si>
    <t>How do I compare two user segments?</t>
  </si>
  <si>
    <t>It simplified the explanation. The docs felt difficult to understand</t>
  </si>
  <si>
    <t>What is N-day retention?</t>
  </si>
  <si>
    <t>Couldn’t find in docs. In docs its named as this - N-Day LTV in retention analysis</t>
  </si>
  <si>
    <t>How do I create a dashboard in Amplitude?</t>
  </si>
  <si>
    <t>Partially Correct</t>
  </si>
  <si>
    <t>It only showed how to convert template to a dashboard whereas there is a separate article on creating dashboards which it didn’t link.</t>
  </si>
  <si>
    <t>What is a Lifecycle chart?</t>
  </si>
  <si>
    <t>What is Stickiness in Amplitude?</t>
  </si>
  <si>
    <t>How do I filter events by user properties?</t>
  </si>
  <si>
    <t>DocPilot couldn’t find the answer. Even I was not able to find the answer manually.</t>
  </si>
  <si>
    <t>What is a Journeys chart?</t>
  </si>
  <si>
    <t>How do I add a segment to a chart?</t>
  </si>
  <si>
    <t>What is account-level reporting?</t>
  </si>
  <si>
    <t>How do I track revenue in Amplitude?</t>
  </si>
  <si>
    <t>What is Compass in Amplitude?</t>
  </si>
  <si>
    <t>How do I build a data table in Amplitude?</t>
  </si>
  <si>
    <t xml:space="preserve">DocPilot couldn’t find the answer. Even I was not able to find the answer manually. There is no data table but there is warehouse native data model. </t>
  </si>
  <si>
    <t>How do I create a funnel in Mixpanel?</t>
  </si>
  <si>
    <t>Mixpanel</t>
  </si>
  <si>
    <t xml:space="preserve">Manually searching got me more confused. DocPilot didn’t give me full answer but gave me the direction and links to the correct docs. </t>
  </si>
  <si>
    <t>What is retention in Mixpanel?</t>
  </si>
  <si>
    <t xml:space="preserve">Better than manual search, </t>
  </si>
  <si>
    <t>How do I create a cohort in Mixpanel?</t>
  </si>
  <si>
    <t>What are custom events in Mixpanel?</t>
  </si>
  <si>
    <t>How do I use the Flows report in Mixpanel?</t>
  </si>
  <si>
    <t>DocPilot was better.</t>
  </si>
  <si>
    <t>What is the Insights report in Mixpanel?</t>
  </si>
  <si>
    <t>Couldn't find it in docs. DocPilot gave a great answer and linked it directly to docs.</t>
  </si>
  <si>
    <t>How do I analyze user paths in Mixpanel?</t>
  </si>
  <si>
    <t>Couldn’t find in docs. Gave up</t>
  </si>
  <si>
    <t>What is a saved report in Mixpanel?</t>
  </si>
  <si>
    <t xml:space="preserve">DocPilot couldn’t find it. On manual search, I got something called Saved Query report. </t>
  </si>
  <si>
    <t>How do I filter users in Mixpanel?</t>
  </si>
  <si>
    <t>What is a property in Mixpanel?</t>
  </si>
  <si>
    <t>How do I compare cohorts in Mixpanel?</t>
  </si>
  <si>
    <t>What is the difference between events and properties in Mixpanel?</t>
  </si>
  <si>
    <t>There is no text regarding direct comparison in docs. But AI smartly gave the right difference</t>
  </si>
  <si>
    <t>How do I measure feature adoption in Mixpanel?</t>
  </si>
  <si>
    <t xml:space="preserve">Had better understanding only after reading the AI </t>
  </si>
  <si>
    <t>What is a funnel conversion window in Mixpanel?</t>
  </si>
  <si>
    <t>DocPilot couldn't find it. Manual search too gave very vague answer. "Mixpanel’s Funnels allows you to examine how end-users perform events in a series. Funnels calculate and display conversions from one event to another within a particular time window. "</t>
  </si>
  <si>
    <t>How do I segment users by behavior in Mixpanel?</t>
  </si>
  <si>
    <t xml:space="preserve">Manually couldn't find the answer. </t>
  </si>
  <si>
    <t>What is a segment in Google Analytics?</t>
  </si>
  <si>
    <t>Google Analytics</t>
  </si>
  <si>
    <t>How do I track conversions in GA4?</t>
  </si>
  <si>
    <t>What are events in Google Analytics?</t>
  </si>
  <si>
    <t xml:space="preserve">DocPilot gave answer for 'key events'. Manual search gave answer for 'events' </t>
  </si>
  <si>
    <t>What is an audience in Google Analytics?</t>
  </si>
  <si>
    <t>DocPilot gave completely wrong answer. It gave answer for segment and tagged that doc here.</t>
  </si>
  <si>
    <t>How is GA4 different from Universal Analytics?</t>
  </si>
  <si>
    <t>Couldn't find using manual docs.</t>
  </si>
  <si>
    <t>How do I create a custom report in GA4?</t>
  </si>
  <si>
    <t>What is a session in Google Analytics?</t>
  </si>
  <si>
    <t>How do I set up goals in GA4?</t>
  </si>
  <si>
    <t>Couldn't find manually in docs also.</t>
  </si>
  <si>
    <t>What is bounce rate in Google Analytics?</t>
  </si>
  <si>
    <t>How do I compare date ranges in GA4?</t>
  </si>
  <si>
    <t>Easily found using manual search</t>
  </si>
  <si>
    <t>What are dimensions and metrics in GA4?</t>
  </si>
  <si>
    <t>How do I filter traffic in Google Analytics?</t>
  </si>
  <si>
    <t>Found 'internal traffic' in manual search</t>
  </si>
  <si>
    <t>What is a funnel exploration in GA4?</t>
  </si>
  <si>
    <t xml:space="preserve">DocPilot just gave one generic line - 'A funnel exploration is a type of exploration you can build in Google Analytics.' Also linked wrong docs - Segments </t>
  </si>
  <si>
    <t>How do I track ecommerce in GA4?</t>
  </si>
  <si>
    <t>DocPilot gave detailed answer. Couldn't find that manually.</t>
  </si>
  <si>
    <t>What is user lifetime value in Google Analytics?</t>
  </si>
  <si>
    <t>DocPilot — Evaluation Summary</t>
  </si>
  <si>
    <t>Final results — 50 questions evaluated across Amplitude, Mixpanel, and Google Analytics</t>
  </si>
  <si>
    <t>Metric</t>
  </si>
  <si>
    <t>Target</t>
  </si>
  <si>
    <t>Actual</t>
  </si>
  <si>
    <t>OVERALL ACCURACY</t>
  </si>
  <si>
    <t>Total Questions Evaluated</t>
  </si>
  <si>
    <t>✅ Correct</t>
  </si>
  <si>
    <t>⚠️ Partially Correct</t>
  </si>
  <si>
    <t>❌ Incorrect</t>
  </si>
  <si>
    <t>Answer Accuracy %</t>
  </si>
  <si>
    <t>Accuracy incl. Partial %</t>
  </si>
  <si>
    <t>SPEED</t>
  </si>
  <si>
    <t>Avg Response Time (s)</t>
  </si>
  <si>
    <t>Fastest Response (s)</t>
  </si>
  <si>
    <t>Slowest Response (s)</t>
  </si>
  <si>
    <t>Avg Manual Search Time (s)</t>
  </si>
  <si>
    <t>Time Saved %</t>
  </si>
  <si>
    <t>ACCURACY BY TOOL</t>
  </si>
  <si>
    <t>Amplitude — Questions</t>
  </si>
  <si>
    <t>Amplitude — Correct</t>
  </si>
  <si>
    <t>Amplitude — Accuracy %</t>
  </si>
  <si>
    <t>Mixpanel — Questions</t>
  </si>
  <si>
    <t>Mixpanel — Correct</t>
  </si>
  <si>
    <t>Mixpanel — Accuracy %</t>
  </si>
  <si>
    <t>Google Analytics — Questions</t>
  </si>
  <si>
    <t>Google Analytics — Correct</t>
  </si>
  <si>
    <t>Google Analytics — Accuracy %</t>
  </si>
  <si>
    <t>CONFIDENCE CALIBRATION</t>
  </si>
  <si>
    <t>High Confidence — n</t>
  </si>
  <si>
    <t>High Confidence — Accuracy %</t>
  </si>
  <si>
    <t>Medium Confidence — n</t>
  </si>
  <si>
    <t>Medium Confidence — Accuracy %</t>
  </si>
  <si>
    <t>Low Confidence — n</t>
  </si>
  <si>
    <t>Low Confidence — Accuracy %</t>
  </si>
  <si>
    <t>How to Use This Evaluation Sheet</t>
  </si>
  <si>
    <t>STEP 1 — Open DocPilot    Go to your live URL: https://amplitude-copilot-frontend.vercel.app</t>
  </si>
  <si>
    <t>STEP 2 — Ask each question    Copy each question from Column B in the Evaluation sheet and paste it into DocPilot.</t>
  </si>
  <si>
    <t>STEP 3 — Record Confidence    Note the confidence badge shown (High / Medium / Low) → enter in Column D.</t>
  </si>
  <si>
    <t>STEP 4 — Record Response Time    Note the ⏱ response time badge shown (e.g. 2.4s) → enter in Column E.</t>
  </si>
  <si>
    <t>STEP 5 — Verify the answer    Check the answer against the official documentation. Mark Column F with one of:
  ✅ Correct
  ⚠️ Partially Correct
  ❌ Incorrect</t>
  </si>
  <si>
    <t>STEP 6 — Add notes    If the answer was wrong or incomplete, note why in Column G.</t>
  </si>
  <si>
    <t>STEP 7 — Time manual search    For 20 selected questions, time how long it takes to find the same answer manually in the docs. Enter in Column H.</t>
  </si>
  <si>
    <t>STEP 8 — Check Summary tab    The Summary tab auto-calculates all metrics as you fill in the sheet.</t>
  </si>
  <si>
    <t xml:space="preserve">TIPS    </t>
  </si>
  <si>
    <t>Correct (✅)    Answer is accurate, complete, and matches the official documentation.</t>
  </si>
  <si>
    <t>Partially Correct (⚠️)    Answer is on the right track but missing key details or has minor inaccuracies.</t>
  </si>
  <si>
    <t>Incorrect (❌)    Answer is wrong, hallucinated, or completely misses the question.</t>
  </si>
  <si>
    <t>Manual Search Tip    Start a stopwatch when you open the docs page, stop when you find the specific answer. Be honest.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</si>
</sst>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14" x14ac:knownFonts="1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i/>
      <sz val="10"/>
      <color rgb="FF6B7280"/>
      <name val="Arial"/>
      <family val="2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4"/>
      <color rgb="FFFFFFFF"/>
      <name val="Arial"/>
      <family val="2"/>
    </font>
    <font>
      <sz val="9"/>
      <color rgb="FF374151"/>
      <name val="Arial"/>
      <family val="2"/>
    </font>
    <font>
      <b/>
      <sz val="10"/>
      <color rgb="FF1E1B4B"/>
      <name val="Arial"/>
      <family val="2"/>
    </font>
    <font>
      <b/>
      <sz val="16"/>
      <color rgb="FFFFFFFF"/>
      <name val="Arial"/>
      <family val="2"/>
    </font>
    <font>
      <i/>
      <sz val="10"/>
      <color rgb="FF6B7280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color rgb="FF7C3AED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7C3AED"/>
      </patternFill>
    </fill>
    <fill>
      <patternFill patternType="solid">
        <fgColor rgb="FFEDE9FE"/>
      </patternFill>
    </fill>
    <fill>
      <patternFill patternType="solid">
        <fgColor rgb="FF1E1B4B"/>
      </patternFill>
    </fill>
    <fill>
      <patternFill patternType="solid">
        <fgColor rgb="FFF9FAFB"/>
      </patternFill>
    </fill>
    <fill>
      <patternFill patternType="solid">
        <fgColor rgb="FFFFFFFF"/>
      </patternFill>
    </fill>
    <fill>
      <patternFill patternType="solid">
        <fgColor rgb="FFFEF9C3"/>
      </patternFill>
    </fill>
    <fill>
      <patternFill patternType="solid">
        <fgColor rgb="FFDCFCE7"/>
      </patternFill>
    </fill>
    <fill>
      <patternFill patternType="solid">
        <fgColor rgb="FF7C3AED"/>
      </patternFill>
    </fill>
    <fill>
      <patternFill patternType="solid">
        <fgColor rgb="FFEDE9FE"/>
      </patternFill>
    </fill>
    <fill>
      <patternFill patternType="solid">
        <fgColor rgb="FF1E1B4B"/>
      </patternFill>
    </fill>
    <fill>
      <patternFill patternType="solid">
        <fgColor rgb="FFFFFFFF"/>
      </patternFill>
    </fill>
    <fill>
      <patternFill patternType="solid">
        <fgColor rgb="FFF3F4F6"/>
      </patternFill>
    </fill>
    <fill>
      <patternFill patternType="solid">
        <fgColor rgb="FFF9FAFB"/>
      </patternFill>
    </fill>
    <fill>
      <patternFill patternType="solid">
        <fgColor rgb="FFD1FAE5"/>
      </patternFill>
    </fill>
    <fill>
      <patternFill patternType="solid">
        <fgColor rgb="FFFEF3C7"/>
      </patternFill>
    </fill>
    <fill>
      <patternFill patternType="solid">
        <fgColor rgb="FFFEE2E2"/>
      </patternFill>
    </fill>
  </fills>
  <borders count="6">
    <border>
      <left/>
      <right/>
      <top/>
      <bottom/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/>
      <bottom/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vertical="center" wrapText="1"/>
    </xf>
    <xf numFmtId="0" fontId="5" fillId="7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vertical="center" wrapText="1" indent="1"/>
    </xf>
    <xf numFmtId="0" fontId="8" fillId="3" borderId="2" xfId="0" applyFont="1" applyFill="1" applyBorder="1" applyAlignment="1">
      <alignment vertical="center" wrapText="1" indent="1"/>
    </xf>
    <xf numFmtId="0" fontId="7" fillId="6" borderId="2" xfId="0" applyFont="1" applyFill="1" applyBorder="1" applyAlignment="1">
      <alignment vertical="center" wrapText="1" indent="1"/>
    </xf>
    <xf numFmtId="0" fontId="3" fillId="4" borderId="2" xfId="0" applyFont="1" applyFill="1" applyBorder="1" applyAlignment="1">
      <alignment vertical="center" wrapText="1" indent="1"/>
    </xf>
    <xf numFmtId="0" fontId="4" fillId="5" borderId="3" xfId="0" applyFont="1" applyFill="1" applyBorder="1" applyAlignment="1">
      <alignment horizontal="center" vertical="center"/>
    </xf>
    <xf numFmtId="0" fontId="11" fillId="11" borderId="4" xfId="0" applyFont="1" applyFill="1" applyBorder="1" applyAlignment="1">
      <alignment horizontal="left" vertical="center" indent="1"/>
    </xf>
    <xf numFmtId="0" fontId="11" fillId="11" borderId="4" xfId="0" applyFont="1" applyFill="1" applyBorder="1" applyAlignment="1">
      <alignment horizontal="center" vertical="center"/>
    </xf>
    <xf numFmtId="0" fontId="0" fillId="11" borderId="4" xfId="0" applyFill="1" applyBorder="1"/>
    <xf numFmtId="0" fontId="12" fillId="12" borderId="5" xfId="0" applyFont="1" applyFill="1" applyBorder="1" applyAlignment="1">
      <alignment vertical="center" indent="1"/>
    </xf>
    <xf numFmtId="0" fontId="0" fillId="12" borderId="5" xfId="0" applyFill="1" applyBorder="1"/>
    <xf numFmtId="0" fontId="13" fillId="13" borderId="5" xfId="0" applyFont="1" applyFill="1" applyBorder="1" applyAlignment="1">
      <alignment horizontal="center" vertical="center"/>
    </xf>
    <xf numFmtId="0" fontId="12" fillId="14" borderId="5" xfId="0" applyFont="1" applyFill="1" applyBorder="1" applyAlignment="1">
      <alignment vertical="center" indent="1"/>
    </xf>
    <xf numFmtId="0" fontId="0" fillId="14" borderId="5" xfId="0" applyFill="1" applyBorder="1"/>
    <xf numFmtId="0" fontId="13" fillId="15" borderId="5" xfId="0" applyFont="1" applyFill="1" applyBorder="1" applyAlignment="1">
      <alignment horizontal="center" vertical="center"/>
    </xf>
    <xf numFmtId="0" fontId="13" fillId="16" borderId="5" xfId="0" applyFont="1" applyFill="1" applyBorder="1" applyAlignment="1">
      <alignment horizontal="center" vertical="center"/>
    </xf>
    <xf numFmtId="0" fontId="13" fillId="17" borderId="5" xfId="0" applyFont="1" applyFill="1" applyBorder="1" applyAlignment="1">
      <alignment horizontal="center" vertical="center"/>
    </xf>
    <xf numFmtId="164" fontId="13" fillId="13" borderId="5" xfId="0" applyNumberFormat="1" applyFont="1" applyFill="1" applyBorder="1" applyAlignment="1">
      <alignment horizontal="center" vertical="center"/>
    </xf>
    <xf numFmtId="2" fontId="13" fillId="13" borderId="5" xfId="0" applyNumberFormat="1" applyFont="1" applyFill="1" applyBorder="1" applyAlignment="1">
      <alignment horizontal="center" vertical="center"/>
    </xf>
    <xf numFmtId="164" fontId="13" fillId="15" borderId="5" xfId="0" applyNumberFormat="1" applyFont="1" applyFill="1" applyBorder="1" applyAlignment="1">
      <alignment horizontal="center" vertical="center"/>
    </xf>
    <xf numFmtId="164" fontId="13" fillId="16" borderId="5" xfId="0" applyNumberFormat="1" applyFont="1" applyFill="1" applyBorder="1" applyAlignment="1">
      <alignment horizontal="center" vertical="center"/>
    </xf>
    <xf numFmtId="164" fontId="13" fillId="17" borderId="5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10" fillId="10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"/>
  <sheetViews>
    <sheetView tabSelected="1" topLeftCell="B1" workbookViewId="0">
      <pane ySplit="3" topLeftCell="A4" activePane="bottomLeft" state="frozen"/>
      <selection pane="bottomLeft" activeCell="G55" sqref="G55"/>
    </sheetView>
  </sheetViews>
  <sheetFormatPr defaultRowHeight="14.5" x14ac:dyDescent="0.35"/>
  <cols>
    <col min="1" max="1" width="5" customWidth="1"/>
    <col min="2" max="2" width="52" customWidth="1"/>
    <col min="3" max="3" width="18" customWidth="1"/>
    <col min="4" max="4" width="22" customWidth="1"/>
    <col min="5" max="6" width="20" customWidth="1"/>
    <col min="7" max="7" width="35" customWidth="1"/>
    <col min="8" max="8" width="22" customWidth="1"/>
  </cols>
  <sheetData>
    <row r="1" spans="1:8" ht="36" customHeight="1" x14ac:dyDescent="0.35">
      <c r="A1" s="32" t="s">
        <v>0</v>
      </c>
      <c r="B1" s="31"/>
      <c r="C1" s="31"/>
      <c r="D1" s="31"/>
      <c r="E1" s="31"/>
      <c r="F1" s="31"/>
      <c r="G1" s="31"/>
      <c r="H1" s="31"/>
    </row>
    <row r="2" spans="1:8" ht="22" customHeight="1" x14ac:dyDescent="0.35">
      <c r="A2" s="30" t="s">
        <v>1</v>
      </c>
      <c r="B2" s="31"/>
      <c r="C2" s="31"/>
      <c r="D2" s="31"/>
      <c r="E2" s="31"/>
      <c r="F2" s="31"/>
      <c r="G2" s="31"/>
      <c r="H2" s="31"/>
    </row>
    <row r="3" spans="1:8" ht="30" customHeight="1" x14ac:dyDescent="0.3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 ht="20" customHeight="1" x14ac:dyDescent="0.35">
      <c r="A4" s="2">
        <v>1</v>
      </c>
      <c r="B4" s="3" t="s">
        <v>10</v>
      </c>
      <c r="C4" s="4" t="s">
        <v>11</v>
      </c>
      <c r="D4" s="2" t="s">
        <v>12</v>
      </c>
      <c r="E4" s="2">
        <v>3.75</v>
      </c>
      <c r="F4" s="13" t="s">
        <v>13</v>
      </c>
      <c r="G4" s="3"/>
      <c r="H4" s="2">
        <v>49.09</v>
      </c>
    </row>
    <row r="5" spans="1:8" ht="20" customHeight="1" x14ac:dyDescent="0.35">
      <c r="A5" s="5">
        <v>2</v>
      </c>
      <c r="B5" s="6" t="s">
        <v>14</v>
      </c>
      <c r="C5" s="4" t="s">
        <v>11</v>
      </c>
      <c r="D5" s="5" t="s">
        <v>12</v>
      </c>
      <c r="E5" s="5">
        <v>9.08</v>
      </c>
      <c r="F5" s="5" t="s">
        <v>13</v>
      </c>
      <c r="G5" s="6"/>
      <c r="H5" s="5">
        <v>12.86</v>
      </c>
    </row>
    <row r="6" spans="1:8" ht="20" customHeight="1" x14ac:dyDescent="0.35">
      <c r="A6" s="2">
        <v>3</v>
      </c>
      <c r="B6" s="3" t="s">
        <v>15</v>
      </c>
      <c r="C6" s="4" t="s">
        <v>11</v>
      </c>
      <c r="D6" s="2" t="s">
        <v>12</v>
      </c>
      <c r="E6" s="2">
        <v>3.9</v>
      </c>
      <c r="F6" s="2" t="s">
        <v>13</v>
      </c>
      <c r="G6" s="3"/>
      <c r="H6" s="2">
        <v>28.68</v>
      </c>
    </row>
    <row r="7" spans="1:8" ht="20" customHeight="1" x14ac:dyDescent="0.35">
      <c r="A7" s="5">
        <v>4</v>
      </c>
      <c r="B7" s="6" t="s">
        <v>16</v>
      </c>
      <c r="C7" s="4" t="s">
        <v>11</v>
      </c>
      <c r="D7" s="5" t="s">
        <v>17</v>
      </c>
      <c r="E7" s="5">
        <v>4.2300000000000004</v>
      </c>
      <c r="F7" s="5" t="s">
        <v>13</v>
      </c>
      <c r="G7" s="6"/>
      <c r="H7" s="5">
        <v>15.78</v>
      </c>
    </row>
    <row r="8" spans="1:8" ht="20" customHeight="1" x14ac:dyDescent="0.35">
      <c r="A8" s="2">
        <v>5</v>
      </c>
      <c r="B8" s="3" t="s">
        <v>18</v>
      </c>
      <c r="C8" s="4" t="s">
        <v>11</v>
      </c>
      <c r="D8" s="2" t="s">
        <v>12</v>
      </c>
      <c r="E8" s="2">
        <v>2.62</v>
      </c>
      <c r="F8" s="2" t="s">
        <v>13</v>
      </c>
      <c r="G8" s="3" t="s">
        <v>19</v>
      </c>
      <c r="H8" s="2">
        <v>15.43</v>
      </c>
    </row>
    <row r="9" spans="1:8" ht="20" customHeight="1" x14ac:dyDescent="0.35">
      <c r="A9" s="5">
        <v>6</v>
      </c>
      <c r="B9" s="6" t="s">
        <v>20</v>
      </c>
      <c r="C9" s="4" t="s">
        <v>11</v>
      </c>
      <c r="D9" s="5" t="s">
        <v>21</v>
      </c>
      <c r="E9" s="5">
        <v>4.1900000000000004</v>
      </c>
      <c r="F9" s="5" t="s">
        <v>22</v>
      </c>
      <c r="G9" s="6" t="s">
        <v>23</v>
      </c>
      <c r="H9" s="5">
        <v>51.64</v>
      </c>
    </row>
    <row r="10" spans="1:8" ht="20" customHeight="1" x14ac:dyDescent="0.35">
      <c r="A10" s="2">
        <v>7</v>
      </c>
      <c r="B10" s="3" t="s">
        <v>24</v>
      </c>
      <c r="C10" s="4" t="s">
        <v>11</v>
      </c>
      <c r="D10" s="2" t="s">
        <v>17</v>
      </c>
      <c r="E10" s="2">
        <v>3.1</v>
      </c>
      <c r="F10" s="2" t="s">
        <v>13</v>
      </c>
      <c r="G10" s="3" t="s">
        <v>25</v>
      </c>
      <c r="H10" s="2">
        <v>69.069999999999993</v>
      </c>
    </row>
    <row r="11" spans="1:8" ht="20" customHeight="1" x14ac:dyDescent="0.35">
      <c r="A11" s="5">
        <v>8</v>
      </c>
      <c r="B11" s="6" t="s">
        <v>26</v>
      </c>
      <c r="C11" s="4" t="s">
        <v>11</v>
      </c>
      <c r="D11" s="5" t="s">
        <v>21</v>
      </c>
      <c r="E11" s="5">
        <v>2.89</v>
      </c>
      <c r="F11" s="5" t="s">
        <v>13</v>
      </c>
      <c r="G11" s="6"/>
      <c r="H11" s="5">
        <v>13.86</v>
      </c>
    </row>
    <row r="12" spans="1:8" ht="20" customHeight="1" x14ac:dyDescent="0.35">
      <c r="A12" s="2">
        <v>9</v>
      </c>
      <c r="B12" s="3" t="s">
        <v>27</v>
      </c>
      <c r="C12" s="4" t="s">
        <v>11</v>
      </c>
      <c r="D12" s="2" t="s">
        <v>17</v>
      </c>
      <c r="E12" s="2">
        <v>2.95</v>
      </c>
      <c r="F12" s="2" t="s">
        <v>13</v>
      </c>
      <c r="G12" s="3" t="s">
        <v>28</v>
      </c>
      <c r="H12" s="2">
        <v>71.209999999999994</v>
      </c>
    </row>
    <row r="13" spans="1:8" ht="20" customHeight="1" x14ac:dyDescent="0.35">
      <c r="A13" s="5">
        <v>10</v>
      </c>
      <c r="B13" s="6" t="s">
        <v>29</v>
      </c>
      <c r="C13" s="4" t="s">
        <v>11</v>
      </c>
      <c r="D13" s="5" t="s">
        <v>21</v>
      </c>
      <c r="E13" s="5">
        <v>4.21</v>
      </c>
      <c r="F13" s="5" t="s">
        <v>22</v>
      </c>
      <c r="G13" s="6" t="s">
        <v>30</v>
      </c>
      <c r="H13" s="5">
        <v>13.75</v>
      </c>
    </row>
    <row r="14" spans="1:8" ht="20" customHeight="1" x14ac:dyDescent="0.35">
      <c r="A14" s="2">
        <v>11</v>
      </c>
      <c r="B14" s="3" t="s">
        <v>31</v>
      </c>
      <c r="C14" s="4" t="s">
        <v>11</v>
      </c>
      <c r="D14" s="2" t="s">
        <v>17</v>
      </c>
      <c r="E14" s="2">
        <v>5.7</v>
      </c>
      <c r="F14" s="2" t="s">
        <v>32</v>
      </c>
      <c r="G14" s="3" t="s">
        <v>33</v>
      </c>
      <c r="H14" s="2">
        <v>13.18</v>
      </c>
    </row>
    <row r="15" spans="1:8" ht="20" customHeight="1" x14ac:dyDescent="0.35">
      <c r="A15" s="5">
        <v>12</v>
      </c>
      <c r="B15" s="6" t="s">
        <v>34</v>
      </c>
      <c r="C15" s="4" t="s">
        <v>11</v>
      </c>
      <c r="D15" s="5" t="s">
        <v>17</v>
      </c>
      <c r="E15" s="5">
        <v>3.65</v>
      </c>
      <c r="F15" s="5" t="s">
        <v>13</v>
      </c>
      <c r="G15" s="6"/>
      <c r="H15" s="5">
        <v>7.81</v>
      </c>
    </row>
    <row r="16" spans="1:8" ht="20" customHeight="1" x14ac:dyDescent="0.35">
      <c r="A16" s="2">
        <v>13</v>
      </c>
      <c r="B16" s="3" t="s">
        <v>35</v>
      </c>
      <c r="C16" s="4" t="s">
        <v>11</v>
      </c>
      <c r="D16" s="2" t="s">
        <v>17</v>
      </c>
      <c r="E16" s="2">
        <v>2.63</v>
      </c>
      <c r="F16" s="2" t="s">
        <v>13</v>
      </c>
      <c r="G16" s="3"/>
      <c r="H16" s="2">
        <v>10.76</v>
      </c>
    </row>
    <row r="17" spans="1:8" ht="20" customHeight="1" x14ac:dyDescent="0.35">
      <c r="A17" s="5">
        <v>14</v>
      </c>
      <c r="B17" s="6" t="s">
        <v>36</v>
      </c>
      <c r="C17" s="4" t="s">
        <v>11</v>
      </c>
      <c r="D17" s="5" t="s">
        <v>17</v>
      </c>
      <c r="E17" s="5">
        <v>6.13</v>
      </c>
      <c r="F17" s="5" t="s">
        <v>22</v>
      </c>
      <c r="G17" s="6" t="s">
        <v>37</v>
      </c>
      <c r="H17" s="5">
        <v>89.74</v>
      </c>
    </row>
    <row r="18" spans="1:8" ht="20" customHeight="1" x14ac:dyDescent="0.35">
      <c r="A18" s="2">
        <v>15</v>
      </c>
      <c r="B18" s="3" t="s">
        <v>38</v>
      </c>
      <c r="C18" s="4" t="s">
        <v>11</v>
      </c>
      <c r="D18" s="2" t="s">
        <v>17</v>
      </c>
      <c r="E18" s="2">
        <v>4.51</v>
      </c>
      <c r="F18" s="2" t="s">
        <v>13</v>
      </c>
      <c r="G18" s="3"/>
      <c r="H18" s="2">
        <v>13.06</v>
      </c>
    </row>
    <row r="19" spans="1:8" ht="20" customHeight="1" x14ac:dyDescent="0.35">
      <c r="A19" s="5">
        <v>16</v>
      </c>
      <c r="B19" s="6" t="s">
        <v>39</v>
      </c>
      <c r="C19" s="4" t="s">
        <v>11</v>
      </c>
      <c r="D19" s="5" t="s">
        <v>17</v>
      </c>
      <c r="E19" s="5">
        <v>5.56</v>
      </c>
      <c r="F19" s="5" t="s">
        <v>13</v>
      </c>
      <c r="G19" s="6"/>
      <c r="H19" s="5">
        <v>10.46</v>
      </c>
    </row>
    <row r="20" spans="1:8" ht="20" customHeight="1" x14ac:dyDescent="0.35">
      <c r="A20" s="2">
        <v>17</v>
      </c>
      <c r="B20" s="3" t="s">
        <v>40</v>
      </c>
      <c r="C20" s="4" t="s">
        <v>11</v>
      </c>
      <c r="D20" s="2" t="s">
        <v>17</v>
      </c>
      <c r="E20" s="2">
        <v>3.21</v>
      </c>
      <c r="F20" s="2" t="s">
        <v>13</v>
      </c>
      <c r="G20" s="3"/>
      <c r="H20" s="2">
        <v>8.7100000000000009</v>
      </c>
    </row>
    <row r="21" spans="1:8" ht="20" customHeight="1" x14ac:dyDescent="0.35">
      <c r="A21" s="5">
        <v>18</v>
      </c>
      <c r="B21" s="6" t="s">
        <v>41</v>
      </c>
      <c r="C21" s="4" t="s">
        <v>11</v>
      </c>
      <c r="D21" s="5" t="s">
        <v>17</v>
      </c>
      <c r="E21" s="5">
        <v>3.84</v>
      </c>
      <c r="F21" s="5" t="s">
        <v>13</v>
      </c>
      <c r="G21" s="6"/>
      <c r="H21" s="5">
        <v>8.48</v>
      </c>
    </row>
    <row r="22" spans="1:8" ht="20" customHeight="1" x14ac:dyDescent="0.35">
      <c r="A22" s="2">
        <v>19</v>
      </c>
      <c r="B22" s="3" t="s">
        <v>42</v>
      </c>
      <c r="C22" s="4" t="s">
        <v>11</v>
      </c>
      <c r="D22" s="2" t="s">
        <v>17</v>
      </c>
      <c r="E22" s="2">
        <v>2.35</v>
      </c>
      <c r="F22" s="2" t="s">
        <v>13</v>
      </c>
      <c r="G22" s="3"/>
      <c r="H22" s="2">
        <v>50.37</v>
      </c>
    </row>
    <row r="23" spans="1:8" ht="20" customHeight="1" x14ac:dyDescent="0.35">
      <c r="A23" s="5">
        <v>20</v>
      </c>
      <c r="B23" s="6" t="s">
        <v>43</v>
      </c>
      <c r="C23" s="4" t="s">
        <v>11</v>
      </c>
      <c r="D23" s="5" t="s">
        <v>17</v>
      </c>
      <c r="E23" s="5">
        <v>3.56</v>
      </c>
      <c r="F23" s="5" t="s">
        <v>22</v>
      </c>
      <c r="G23" s="6" t="s">
        <v>44</v>
      </c>
      <c r="H23" s="5">
        <v>21.6</v>
      </c>
    </row>
    <row r="24" spans="1:8" ht="20" customHeight="1" x14ac:dyDescent="0.35">
      <c r="A24" s="2">
        <v>21</v>
      </c>
      <c r="B24" s="3" t="s">
        <v>45</v>
      </c>
      <c r="C24" s="7" t="s">
        <v>46</v>
      </c>
      <c r="D24" s="2" t="s">
        <v>12</v>
      </c>
      <c r="E24" s="2">
        <v>2.5099999999999998</v>
      </c>
      <c r="F24" s="2" t="s">
        <v>13</v>
      </c>
      <c r="G24" s="3" t="s">
        <v>47</v>
      </c>
      <c r="H24" s="2">
        <v>73.260000000000005</v>
      </c>
    </row>
    <row r="25" spans="1:8" ht="20" customHeight="1" x14ac:dyDescent="0.35">
      <c r="A25" s="5">
        <v>22</v>
      </c>
      <c r="B25" s="6" t="s">
        <v>48</v>
      </c>
      <c r="C25" s="7" t="s">
        <v>46</v>
      </c>
      <c r="D25" s="5" t="s">
        <v>12</v>
      </c>
      <c r="E25" s="5">
        <v>2.44</v>
      </c>
      <c r="F25" s="5" t="s">
        <v>13</v>
      </c>
      <c r="G25" s="6" t="s">
        <v>49</v>
      </c>
      <c r="H25" s="5">
        <v>30.55</v>
      </c>
    </row>
    <row r="26" spans="1:8" ht="20" customHeight="1" x14ac:dyDescent="0.35">
      <c r="A26" s="2">
        <v>23</v>
      </c>
      <c r="B26" s="3" t="s">
        <v>50</v>
      </c>
      <c r="C26" s="7" t="s">
        <v>46</v>
      </c>
      <c r="D26" s="2" t="s">
        <v>12</v>
      </c>
      <c r="E26" s="2">
        <v>4.99</v>
      </c>
      <c r="F26" s="2" t="s">
        <v>13</v>
      </c>
      <c r="G26" s="3"/>
      <c r="H26" s="2">
        <v>9.16</v>
      </c>
    </row>
    <row r="27" spans="1:8" ht="20" customHeight="1" x14ac:dyDescent="0.35">
      <c r="A27" s="5">
        <v>24</v>
      </c>
      <c r="B27" s="6" t="s">
        <v>51</v>
      </c>
      <c r="C27" s="7" t="s">
        <v>46</v>
      </c>
      <c r="D27" s="5" t="s">
        <v>12</v>
      </c>
      <c r="E27" s="5">
        <v>1.92</v>
      </c>
      <c r="F27" s="5" t="s">
        <v>13</v>
      </c>
      <c r="G27" s="6"/>
      <c r="H27" s="5">
        <v>8.76</v>
      </c>
    </row>
    <row r="28" spans="1:8" ht="20" customHeight="1" x14ac:dyDescent="0.35">
      <c r="A28" s="2">
        <v>25</v>
      </c>
      <c r="B28" s="3" t="s">
        <v>52</v>
      </c>
      <c r="C28" s="7" t="s">
        <v>46</v>
      </c>
      <c r="D28" s="2" t="s">
        <v>12</v>
      </c>
      <c r="E28" s="2">
        <v>5.04</v>
      </c>
      <c r="F28" s="2" t="s">
        <v>13</v>
      </c>
      <c r="G28" s="3" t="s">
        <v>53</v>
      </c>
      <c r="H28" s="2">
        <v>35.479999999999997</v>
      </c>
    </row>
    <row r="29" spans="1:8" ht="20" customHeight="1" x14ac:dyDescent="0.35">
      <c r="A29" s="5">
        <v>26</v>
      </c>
      <c r="B29" s="6" t="s">
        <v>54</v>
      </c>
      <c r="C29" s="7" t="s">
        <v>46</v>
      </c>
      <c r="D29" s="5" t="s">
        <v>12</v>
      </c>
      <c r="E29" s="5">
        <v>2.5</v>
      </c>
      <c r="F29" s="5" t="s">
        <v>13</v>
      </c>
      <c r="G29" s="6" t="s">
        <v>55</v>
      </c>
      <c r="H29" s="5">
        <v>40.97</v>
      </c>
    </row>
    <row r="30" spans="1:8" ht="20" customHeight="1" x14ac:dyDescent="0.35">
      <c r="A30" s="2">
        <v>27</v>
      </c>
      <c r="B30" s="3" t="s">
        <v>56</v>
      </c>
      <c r="C30" s="7" t="s">
        <v>46</v>
      </c>
      <c r="D30" s="2" t="s">
        <v>12</v>
      </c>
      <c r="E30" s="2">
        <v>4.28</v>
      </c>
      <c r="F30" s="2" t="s">
        <v>13</v>
      </c>
      <c r="G30" s="3" t="s">
        <v>57</v>
      </c>
      <c r="H30" s="2">
        <v>51.32</v>
      </c>
    </row>
    <row r="31" spans="1:8" ht="20" customHeight="1" x14ac:dyDescent="0.35">
      <c r="A31" s="5">
        <v>28</v>
      </c>
      <c r="B31" s="6" t="s">
        <v>58</v>
      </c>
      <c r="C31" s="7" t="s">
        <v>46</v>
      </c>
      <c r="D31" s="5" t="s">
        <v>17</v>
      </c>
      <c r="E31" s="5">
        <v>4.87</v>
      </c>
      <c r="F31" s="5" t="s">
        <v>22</v>
      </c>
      <c r="G31" s="6" t="s">
        <v>59</v>
      </c>
      <c r="H31" s="5">
        <v>8.5500000000000007</v>
      </c>
    </row>
    <row r="32" spans="1:8" ht="20" customHeight="1" x14ac:dyDescent="0.35">
      <c r="A32" s="2">
        <v>29</v>
      </c>
      <c r="B32" s="3" t="s">
        <v>60</v>
      </c>
      <c r="C32" s="7" t="s">
        <v>46</v>
      </c>
      <c r="D32" s="2" t="s">
        <v>12</v>
      </c>
      <c r="E32" s="2">
        <v>6.72</v>
      </c>
      <c r="F32" s="2" t="s">
        <v>13</v>
      </c>
      <c r="G32" s="3"/>
      <c r="H32" s="2">
        <v>25.83</v>
      </c>
    </row>
    <row r="33" spans="1:8" ht="20" customHeight="1" x14ac:dyDescent="0.35">
      <c r="A33" s="5">
        <v>30</v>
      </c>
      <c r="B33" s="6" t="s">
        <v>61</v>
      </c>
      <c r="C33" s="7" t="s">
        <v>46</v>
      </c>
      <c r="D33" s="5" t="s">
        <v>17</v>
      </c>
      <c r="E33" s="5">
        <v>6.93</v>
      </c>
      <c r="F33" s="5" t="s">
        <v>13</v>
      </c>
      <c r="G33" s="6"/>
      <c r="H33" s="5">
        <v>3.35</v>
      </c>
    </row>
    <row r="34" spans="1:8" ht="20" customHeight="1" x14ac:dyDescent="0.35">
      <c r="A34" s="2">
        <v>31</v>
      </c>
      <c r="B34" s="3" t="s">
        <v>62</v>
      </c>
      <c r="C34" s="7" t="s">
        <v>46</v>
      </c>
      <c r="D34" s="2" t="s">
        <v>12</v>
      </c>
      <c r="E34" s="2">
        <v>2.71</v>
      </c>
      <c r="F34" s="2" t="s">
        <v>13</v>
      </c>
      <c r="G34" s="3"/>
      <c r="H34" s="2">
        <v>40.9</v>
      </c>
    </row>
    <row r="35" spans="1:8" ht="20" customHeight="1" x14ac:dyDescent="0.35">
      <c r="A35" s="5">
        <v>32</v>
      </c>
      <c r="B35" s="6" t="s">
        <v>63</v>
      </c>
      <c r="C35" s="7" t="s">
        <v>46</v>
      </c>
      <c r="D35" s="5" t="s">
        <v>17</v>
      </c>
      <c r="E35" s="5">
        <v>7.14</v>
      </c>
      <c r="F35" s="5" t="s">
        <v>13</v>
      </c>
      <c r="G35" s="6" t="s">
        <v>64</v>
      </c>
      <c r="H35" s="5">
        <v>37.43</v>
      </c>
    </row>
    <row r="36" spans="1:8" ht="20" customHeight="1" x14ac:dyDescent="0.35">
      <c r="A36" s="2">
        <v>33</v>
      </c>
      <c r="B36" s="3" t="s">
        <v>65</v>
      </c>
      <c r="C36" s="7" t="s">
        <v>46</v>
      </c>
      <c r="D36" s="2" t="s">
        <v>17</v>
      </c>
      <c r="E36" s="2">
        <v>6.78</v>
      </c>
      <c r="F36" s="2" t="s">
        <v>13</v>
      </c>
      <c r="G36" s="3" t="s">
        <v>66</v>
      </c>
      <c r="H36" s="2">
        <v>13.07</v>
      </c>
    </row>
    <row r="37" spans="1:8" ht="20" customHeight="1" x14ac:dyDescent="0.35">
      <c r="A37" s="5">
        <v>34</v>
      </c>
      <c r="B37" s="6" t="s">
        <v>67</v>
      </c>
      <c r="C37" s="7" t="s">
        <v>46</v>
      </c>
      <c r="D37" s="5" t="s">
        <v>17</v>
      </c>
      <c r="E37" s="5">
        <v>4.33</v>
      </c>
      <c r="F37" s="5" t="s">
        <v>22</v>
      </c>
      <c r="G37" s="6" t="s">
        <v>68</v>
      </c>
      <c r="H37" s="5">
        <v>35</v>
      </c>
    </row>
    <row r="38" spans="1:8" ht="20" customHeight="1" x14ac:dyDescent="0.35">
      <c r="A38" s="2">
        <v>35</v>
      </c>
      <c r="B38" s="3" t="s">
        <v>69</v>
      </c>
      <c r="C38" s="7" t="s">
        <v>46</v>
      </c>
      <c r="D38" s="2" t="s">
        <v>17</v>
      </c>
      <c r="E38" s="2">
        <v>3.11</v>
      </c>
      <c r="F38" s="2" t="s">
        <v>13</v>
      </c>
      <c r="G38" s="3" t="s">
        <v>70</v>
      </c>
      <c r="H38" s="2">
        <v>82.09</v>
      </c>
    </row>
    <row r="39" spans="1:8" ht="20" customHeight="1" x14ac:dyDescent="0.35">
      <c r="A39" s="5">
        <v>36</v>
      </c>
      <c r="B39" s="6" t="s">
        <v>71</v>
      </c>
      <c r="C39" s="8" t="s">
        <v>72</v>
      </c>
      <c r="D39" s="5" t="s">
        <v>17</v>
      </c>
      <c r="E39" s="5">
        <v>2.06</v>
      </c>
      <c r="F39" s="5" t="s">
        <v>13</v>
      </c>
      <c r="G39" s="6" t="s">
        <v>55</v>
      </c>
      <c r="H39" s="5">
        <v>32.549999999999997</v>
      </c>
    </row>
    <row r="40" spans="1:8" ht="20" customHeight="1" x14ac:dyDescent="0.35">
      <c r="A40" s="2">
        <v>37</v>
      </c>
      <c r="B40" s="3" t="s">
        <v>73</v>
      </c>
      <c r="C40" s="8" t="s">
        <v>72</v>
      </c>
      <c r="D40" s="2" t="s">
        <v>17</v>
      </c>
      <c r="E40" s="2">
        <v>19.12</v>
      </c>
      <c r="F40" s="2" t="s">
        <v>13</v>
      </c>
      <c r="G40" s="3"/>
      <c r="H40" s="2">
        <v>47.05</v>
      </c>
    </row>
    <row r="41" spans="1:8" ht="20" customHeight="1" x14ac:dyDescent="0.35">
      <c r="A41" s="5">
        <v>38</v>
      </c>
      <c r="B41" s="6" t="s">
        <v>74</v>
      </c>
      <c r="C41" s="8" t="s">
        <v>72</v>
      </c>
      <c r="D41" s="5" t="s">
        <v>17</v>
      </c>
      <c r="E41" s="5">
        <v>3.57</v>
      </c>
      <c r="F41" s="5" t="s">
        <v>32</v>
      </c>
      <c r="G41" s="6" t="s">
        <v>75</v>
      </c>
      <c r="H41" s="5">
        <v>13.91</v>
      </c>
    </row>
    <row r="42" spans="1:8" ht="20" customHeight="1" x14ac:dyDescent="0.35">
      <c r="A42" s="2">
        <v>39</v>
      </c>
      <c r="B42" s="3" t="s">
        <v>76</v>
      </c>
      <c r="C42" s="8" t="s">
        <v>72</v>
      </c>
      <c r="D42" s="2" t="s">
        <v>17</v>
      </c>
      <c r="E42" s="2">
        <v>1.78</v>
      </c>
      <c r="F42" s="2" t="s">
        <v>22</v>
      </c>
      <c r="G42" s="3" t="s">
        <v>77</v>
      </c>
      <c r="H42" s="2">
        <v>15.51</v>
      </c>
    </row>
    <row r="43" spans="1:8" ht="20" customHeight="1" x14ac:dyDescent="0.35">
      <c r="A43" s="5">
        <v>40</v>
      </c>
      <c r="B43" s="6" t="s">
        <v>78</v>
      </c>
      <c r="C43" s="8" t="s">
        <v>72</v>
      </c>
      <c r="D43" s="5" t="s">
        <v>17</v>
      </c>
      <c r="E43" s="5">
        <v>10.039999999999999</v>
      </c>
      <c r="F43" s="5" t="s">
        <v>13</v>
      </c>
      <c r="G43" s="6" t="s">
        <v>79</v>
      </c>
      <c r="H43" s="5">
        <v>10.039999999999999</v>
      </c>
    </row>
    <row r="44" spans="1:8" ht="20" customHeight="1" x14ac:dyDescent="0.35">
      <c r="A44" s="2">
        <v>41</v>
      </c>
      <c r="B44" s="3" t="s">
        <v>80</v>
      </c>
      <c r="C44" s="8" t="s">
        <v>72</v>
      </c>
      <c r="D44" s="2" t="s">
        <v>17</v>
      </c>
      <c r="E44" s="2">
        <v>3.55</v>
      </c>
      <c r="F44" s="2" t="s">
        <v>13</v>
      </c>
      <c r="G44" s="3"/>
      <c r="H44" s="2">
        <v>3.55</v>
      </c>
    </row>
    <row r="45" spans="1:8" ht="20" customHeight="1" x14ac:dyDescent="0.35">
      <c r="A45" s="5">
        <v>42</v>
      </c>
      <c r="B45" s="6" t="s">
        <v>81</v>
      </c>
      <c r="C45" s="8" t="s">
        <v>72</v>
      </c>
      <c r="D45" s="5" t="s">
        <v>17</v>
      </c>
      <c r="E45" s="5">
        <v>5.9</v>
      </c>
      <c r="F45" s="5" t="s">
        <v>13</v>
      </c>
      <c r="G45" s="6"/>
      <c r="H45" s="5">
        <v>9.8000000000000007</v>
      </c>
    </row>
    <row r="46" spans="1:8" ht="20" customHeight="1" x14ac:dyDescent="0.35">
      <c r="A46" s="2">
        <v>43</v>
      </c>
      <c r="B46" s="3" t="s">
        <v>82</v>
      </c>
      <c r="C46" s="8" t="s">
        <v>72</v>
      </c>
      <c r="D46" s="2" t="s">
        <v>17</v>
      </c>
      <c r="E46" s="2">
        <v>1.63</v>
      </c>
      <c r="F46" s="2" t="s">
        <v>22</v>
      </c>
      <c r="G46" s="3" t="s">
        <v>83</v>
      </c>
      <c r="H46" s="2">
        <v>40.78</v>
      </c>
    </row>
    <row r="47" spans="1:8" ht="20" customHeight="1" x14ac:dyDescent="0.35">
      <c r="A47" s="5">
        <v>44</v>
      </c>
      <c r="B47" s="6" t="s">
        <v>84</v>
      </c>
      <c r="C47" s="8" t="s">
        <v>72</v>
      </c>
      <c r="D47" s="5" t="s">
        <v>17</v>
      </c>
      <c r="E47" s="5">
        <v>2.06</v>
      </c>
      <c r="F47" s="5" t="s">
        <v>13</v>
      </c>
      <c r="G47" s="6"/>
      <c r="H47" s="5">
        <v>22.35</v>
      </c>
    </row>
    <row r="48" spans="1:8" ht="20" customHeight="1" x14ac:dyDescent="0.35">
      <c r="A48" s="2">
        <v>45</v>
      </c>
      <c r="B48" s="3" t="s">
        <v>85</v>
      </c>
      <c r="C48" s="8" t="s">
        <v>72</v>
      </c>
      <c r="D48" s="2" t="s">
        <v>17</v>
      </c>
      <c r="E48" s="2">
        <v>1.89</v>
      </c>
      <c r="F48" s="2" t="s">
        <v>22</v>
      </c>
      <c r="G48" s="3" t="s">
        <v>86</v>
      </c>
      <c r="H48" s="2">
        <v>29.46</v>
      </c>
    </row>
    <row r="49" spans="1:8" ht="20" customHeight="1" x14ac:dyDescent="0.35">
      <c r="A49" s="5">
        <v>46</v>
      </c>
      <c r="B49" s="6" t="s">
        <v>87</v>
      </c>
      <c r="C49" s="8" t="s">
        <v>72</v>
      </c>
      <c r="D49" s="5" t="s">
        <v>12</v>
      </c>
      <c r="E49" s="5">
        <v>4.45</v>
      </c>
      <c r="F49" s="5" t="s">
        <v>13</v>
      </c>
      <c r="G49" s="6"/>
      <c r="H49" s="5">
        <v>8.41</v>
      </c>
    </row>
    <row r="50" spans="1:8" ht="20" customHeight="1" x14ac:dyDescent="0.35">
      <c r="A50" s="2">
        <v>47</v>
      </c>
      <c r="B50" s="3" t="s">
        <v>88</v>
      </c>
      <c r="C50" s="8" t="s">
        <v>72</v>
      </c>
      <c r="D50" s="2" t="s">
        <v>17</v>
      </c>
      <c r="E50" s="2">
        <v>1.91</v>
      </c>
      <c r="F50" s="2" t="s">
        <v>22</v>
      </c>
      <c r="G50" s="3" t="s">
        <v>89</v>
      </c>
      <c r="H50" s="2">
        <v>14.18</v>
      </c>
    </row>
    <row r="51" spans="1:8" ht="20" customHeight="1" x14ac:dyDescent="0.35">
      <c r="A51" s="5">
        <v>48</v>
      </c>
      <c r="B51" s="6" t="s">
        <v>90</v>
      </c>
      <c r="C51" s="8" t="s">
        <v>72</v>
      </c>
      <c r="D51" s="5" t="s">
        <v>17</v>
      </c>
      <c r="E51" s="5">
        <v>2.13</v>
      </c>
      <c r="F51" s="5" t="s">
        <v>32</v>
      </c>
      <c r="G51" s="6" t="s">
        <v>91</v>
      </c>
      <c r="H51" s="5">
        <v>12.33</v>
      </c>
    </row>
    <row r="52" spans="1:8" ht="20" customHeight="1" x14ac:dyDescent="0.35">
      <c r="A52" s="2">
        <v>49</v>
      </c>
      <c r="B52" s="3" t="s">
        <v>92</v>
      </c>
      <c r="C52" s="8" t="s">
        <v>72</v>
      </c>
      <c r="D52" s="2" t="s">
        <v>17</v>
      </c>
      <c r="E52" s="2">
        <v>3.06</v>
      </c>
      <c r="F52" s="2" t="s">
        <v>13</v>
      </c>
      <c r="G52" s="3" t="s">
        <v>93</v>
      </c>
      <c r="H52" s="2">
        <v>19</v>
      </c>
    </row>
    <row r="53" spans="1:8" ht="20" customHeight="1" x14ac:dyDescent="0.35">
      <c r="A53" s="5">
        <v>50</v>
      </c>
      <c r="B53" s="6" t="s">
        <v>94</v>
      </c>
      <c r="C53" s="8" t="s">
        <v>72</v>
      </c>
      <c r="D53" s="5" t="s">
        <v>17</v>
      </c>
      <c r="E53" s="5">
        <v>4.08</v>
      </c>
      <c r="F53" s="5" t="s">
        <v>13</v>
      </c>
      <c r="G53" s="6"/>
      <c r="H53" s="5">
        <v>13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3"/>
  <sheetViews>
    <sheetView workbookViewId="0">
      <pane ySplit="3" topLeftCell="A29" activePane="bottomLeft" state="frozen"/>
      <selection pane="bottomLeft" sqref="A1:D1"/>
    </sheetView>
  </sheetViews>
  <sheetFormatPr defaultRowHeight="14.5" x14ac:dyDescent="0.35"/>
  <cols>
    <col min="1" max="1" width="32" customWidth="1"/>
    <col min="2" max="4" width="14" customWidth="1"/>
  </cols>
  <sheetData>
    <row r="1" spans="1:4" ht="34" customHeight="1" x14ac:dyDescent="0.35">
      <c r="A1" s="33" t="s">
        <v>95</v>
      </c>
      <c r="B1" s="31"/>
      <c r="C1" s="31"/>
      <c r="D1" s="31"/>
    </row>
    <row r="2" spans="1:4" ht="22" customHeight="1" x14ac:dyDescent="0.35">
      <c r="A2" s="34" t="s">
        <v>96</v>
      </c>
      <c r="B2" s="31"/>
      <c r="C2" s="31"/>
      <c r="D2" s="31"/>
    </row>
    <row r="3" spans="1:4" ht="24" customHeight="1" x14ac:dyDescent="0.35">
      <c r="A3" s="14" t="s">
        <v>97</v>
      </c>
      <c r="B3" s="15" t="s">
        <v>98</v>
      </c>
      <c r="C3" s="15" t="s">
        <v>99</v>
      </c>
    </row>
    <row r="4" spans="1:4" ht="22" customHeight="1" x14ac:dyDescent="0.35">
      <c r="A4" s="14" t="s">
        <v>100</v>
      </c>
      <c r="B4" s="16"/>
      <c r="C4" s="16"/>
      <c r="D4" s="16"/>
    </row>
    <row r="5" spans="1:4" ht="22" customHeight="1" x14ac:dyDescent="0.35">
      <c r="A5" s="17" t="s">
        <v>101</v>
      </c>
      <c r="B5" s="18"/>
      <c r="C5" s="19">
        <f>COUNTA(Evaluation!B4:B53)</f>
        <v>50</v>
      </c>
    </row>
    <row r="6" spans="1:4" ht="22" customHeight="1" x14ac:dyDescent="0.35">
      <c r="A6" s="20" t="s">
        <v>102</v>
      </c>
      <c r="B6" s="21"/>
      <c r="C6" s="22">
        <f>COUNTIF(Evaluation!F4:F53,"Correct")</f>
        <v>37</v>
      </c>
    </row>
    <row r="7" spans="1:4" ht="22" customHeight="1" x14ac:dyDescent="0.35">
      <c r="A7" s="17" t="s">
        <v>103</v>
      </c>
      <c r="B7" s="18"/>
      <c r="C7" s="23">
        <f>COUNTIF(Evaluation!F4:F53,"Partially Correct")</f>
        <v>3</v>
      </c>
    </row>
    <row r="8" spans="1:4" ht="22" customHeight="1" x14ac:dyDescent="0.35">
      <c r="A8" s="20" t="s">
        <v>104</v>
      </c>
      <c r="B8" s="21"/>
      <c r="C8" s="24">
        <f>COUNTIF(Evaluation!F4:F53,"Incorrect")</f>
        <v>10</v>
      </c>
    </row>
    <row r="9" spans="1:4" ht="22" customHeight="1" x14ac:dyDescent="0.35">
      <c r="A9" s="17" t="s">
        <v>105</v>
      </c>
      <c r="B9" s="18"/>
      <c r="C9" s="25">
        <f>COUNTIF(Evaluation!F4:F53,"Correct")/COUNTA(Evaluation!B4:B53)*100</f>
        <v>74</v>
      </c>
    </row>
    <row r="10" spans="1:4" ht="22" customHeight="1" x14ac:dyDescent="0.35">
      <c r="A10" s="20" t="s">
        <v>106</v>
      </c>
      <c r="B10" s="21"/>
      <c r="C10" s="25">
        <f>(COUNTIF(Evaluation!F4:F53,"Correct")+COUNTIF(Evaluation!F4:F53,"Partially Correct"))/COUNTA(Evaluation!B4:B53)*100</f>
        <v>80</v>
      </c>
    </row>
    <row r="11" spans="1:4" ht="22" customHeight="1" x14ac:dyDescent="0.35">
      <c r="A11" s="14" t="s">
        <v>107</v>
      </c>
      <c r="B11" s="16"/>
      <c r="C11" s="16"/>
      <c r="D11" s="16"/>
    </row>
    <row r="12" spans="1:4" ht="22" customHeight="1" x14ac:dyDescent="0.35">
      <c r="A12" s="20" t="s">
        <v>108</v>
      </c>
      <c r="B12" s="21"/>
      <c r="C12" s="26">
        <f>AVERAGE(Evaluation!E4:E53)</f>
        <v>4.3112000000000004</v>
      </c>
    </row>
    <row r="13" spans="1:4" ht="22" customHeight="1" x14ac:dyDescent="0.35">
      <c r="A13" s="17" t="s">
        <v>109</v>
      </c>
      <c r="B13" s="18"/>
      <c r="C13" s="26">
        <f>MIN(Evaluation!E4:E53)</f>
        <v>1.63</v>
      </c>
    </row>
    <row r="14" spans="1:4" ht="22" customHeight="1" x14ac:dyDescent="0.35">
      <c r="A14" s="20" t="s">
        <v>110</v>
      </c>
      <c r="B14" s="21"/>
      <c r="C14" s="26">
        <f>MAX(Evaluation!E4:E53)</f>
        <v>19.12</v>
      </c>
    </row>
    <row r="15" spans="1:4" ht="22" customHeight="1" x14ac:dyDescent="0.35">
      <c r="A15" s="17" t="s">
        <v>111</v>
      </c>
      <c r="B15" s="18"/>
      <c r="C15" s="26">
        <f>AVERAGE(Evaluation!H4:H53)</f>
        <v>27.263599999999997</v>
      </c>
    </row>
    <row r="16" spans="1:4" ht="22" customHeight="1" x14ac:dyDescent="0.35">
      <c r="A16" s="20" t="s">
        <v>112</v>
      </c>
      <c r="B16" s="21"/>
      <c r="C16" s="25">
        <f>(C15-C12)/C15*100</f>
        <v>84.186974574157475</v>
      </c>
    </row>
    <row r="17" spans="1:4" ht="22" customHeight="1" x14ac:dyDescent="0.35">
      <c r="A17" s="14" t="s">
        <v>113</v>
      </c>
      <c r="B17" s="16"/>
      <c r="C17" s="16"/>
      <c r="D17" s="16"/>
    </row>
    <row r="18" spans="1:4" ht="22" customHeight="1" x14ac:dyDescent="0.35">
      <c r="A18" s="20" t="s">
        <v>114</v>
      </c>
      <c r="B18" s="21"/>
      <c r="C18" s="19">
        <f>COUNTIF(Evaluation!C4:C53,"Amplitude")</f>
        <v>20</v>
      </c>
    </row>
    <row r="19" spans="1:4" ht="22" customHeight="1" x14ac:dyDescent="0.35">
      <c r="A19" s="17" t="s">
        <v>115</v>
      </c>
      <c r="B19" s="18"/>
      <c r="C19" s="22">
        <f>COUNTIFS(Evaluation!C4:C53,"Amplitude",Evaluation!F4:F53,"Correct")</f>
        <v>15</v>
      </c>
    </row>
    <row r="20" spans="1:4" ht="22" customHeight="1" x14ac:dyDescent="0.35">
      <c r="A20" s="20" t="s">
        <v>116</v>
      </c>
      <c r="B20" s="21"/>
      <c r="C20" s="25">
        <f>COUNTIFS(Evaluation!C4:C53,"Amplitude",Evaluation!F4:F53,"Correct")/COUNTIF(Evaluation!C4:C53,"Amplitude")*100</f>
        <v>75</v>
      </c>
    </row>
    <row r="21" spans="1:4" ht="22" customHeight="1" x14ac:dyDescent="0.35">
      <c r="A21" s="17" t="s">
        <v>117</v>
      </c>
      <c r="B21" s="18"/>
      <c r="C21" s="19">
        <f>COUNTIF(Evaluation!C4:C53,"Mixpanel")</f>
        <v>15</v>
      </c>
    </row>
    <row r="22" spans="1:4" ht="22" customHeight="1" x14ac:dyDescent="0.35">
      <c r="A22" s="20" t="s">
        <v>118</v>
      </c>
      <c r="B22" s="21"/>
      <c r="C22" s="22">
        <f>COUNTIFS(Evaluation!C4:C53,"Mixpanel",Evaluation!F4:F53,"Correct")</f>
        <v>13</v>
      </c>
    </row>
    <row r="23" spans="1:4" ht="22" customHeight="1" x14ac:dyDescent="0.35">
      <c r="A23" s="17" t="s">
        <v>119</v>
      </c>
      <c r="B23" s="18"/>
      <c r="C23" s="25">
        <f>COUNTIFS(Evaluation!C4:C53,"Mixpanel",Evaluation!F4:F53,"Correct")/COUNTIF(Evaluation!C4:C53,"Mixpanel")*100</f>
        <v>86.666666666666671</v>
      </c>
    </row>
    <row r="24" spans="1:4" ht="22" customHeight="1" x14ac:dyDescent="0.35">
      <c r="A24" s="20" t="s">
        <v>120</v>
      </c>
      <c r="B24" s="21"/>
      <c r="C24" s="19">
        <f>COUNTIF(Evaluation!C4:C53,"Google Analytics")</f>
        <v>15</v>
      </c>
    </row>
    <row r="25" spans="1:4" ht="22" customHeight="1" x14ac:dyDescent="0.35">
      <c r="A25" s="17" t="s">
        <v>121</v>
      </c>
      <c r="B25" s="18"/>
      <c r="C25" s="22">
        <f>COUNTIFS(Evaluation!C4:C53,"Google Analytics",Evaluation!F4:F53,"Correct")</f>
        <v>9</v>
      </c>
    </row>
    <row r="26" spans="1:4" ht="22" customHeight="1" x14ac:dyDescent="0.35">
      <c r="A26" s="20" t="s">
        <v>122</v>
      </c>
      <c r="B26" s="21"/>
      <c r="C26" s="25">
        <f>COUNTIFS(Evaluation!C4:C53,"Google Analytics",Evaluation!F4:F53,"Correct")/COUNTIF(Evaluation!C4:C53,"Google Analytics")*100</f>
        <v>60</v>
      </c>
    </row>
    <row r="27" spans="1:4" ht="22" customHeight="1" x14ac:dyDescent="0.35">
      <c r="A27" s="14" t="s">
        <v>123</v>
      </c>
      <c r="B27" s="16"/>
      <c r="C27" s="16"/>
      <c r="D27" s="16"/>
    </row>
    <row r="28" spans="1:4" ht="22" customHeight="1" x14ac:dyDescent="0.35">
      <c r="A28" s="20" t="s">
        <v>124</v>
      </c>
      <c r="B28" s="21"/>
      <c r="C28" s="19">
        <f>COUNTIF(Evaluation!D4:D53,"High")</f>
        <v>14</v>
      </c>
    </row>
    <row r="29" spans="1:4" ht="22" customHeight="1" x14ac:dyDescent="0.35">
      <c r="A29" s="17" t="s">
        <v>125</v>
      </c>
      <c r="B29" s="18"/>
      <c r="C29" s="27">
        <f>IFERROR(COUNTIFS(Evaluation!D4:D53,"High",Evaluation!F4:F53,"Correct")/COUNTIF(Evaluation!D4:D53,"High")*100,0)</f>
        <v>100</v>
      </c>
    </row>
    <row r="30" spans="1:4" ht="22" customHeight="1" x14ac:dyDescent="0.35">
      <c r="A30" s="20" t="s">
        <v>126</v>
      </c>
      <c r="B30" s="21"/>
      <c r="C30" s="19">
        <f>COUNTIF(Evaluation!D4:D53,"Medium")</f>
        <v>33</v>
      </c>
    </row>
    <row r="31" spans="1:4" ht="22" customHeight="1" x14ac:dyDescent="0.35">
      <c r="A31" s="17" t="s">
        <v>127</v>
      </c>
      <c r="B31" s="18"/>
      <c r="C31" s="28">
        <f>IFERROR(COUNTIFS(Evaluation!D4:D53,"Medium",Evaluation!F4:F53,"Correct")/COUNTIF(Evaluation!D4:D53,"Medium")*100,0)</f>
        <v>66.666666666666657</v>
      </c>
    </row>
    <row r="32" spans="1:4" ht="22" customHeight="1" x14ac:dyDescent="0.35">
      <c r="A32" s="20" t="s">
        <v>128</v>
      </c>
      <c r="B32" s="21"/>
      <c r="C32" s="19">
        <f>COUNTIF(Evaluation!D4:D53,"Low")</f>
        <v>3</v>
      </c>
    </row>
    <row r="33" spans="1:3" ht="22" customHeight="1" x14ac:dyDescent="0.35">
      <c r="A33" s="17" t="s">
        <v>129</v>
      </c>
      <c r="B33" s="18"/>
      <c r="C33" s="29">
        <f>IFERROR(COUNTIFS(Evaluation!D4:D53,"Low",Evaluation!F4:F53,"Correct")/COUNTIF(Evaluation!D4:D53,"Low")*100,0)</f>
        <v>33.333333333333329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6"/>
  <sheetViews>
    <sheetView workbookViewId="0"/>
  </sheetViews>
  <sheetFormatPr defaultRowHeight="14.5" x14ac:dyDescent="0.35"/>
  <cols>
    <col min="1" max="1" width="70" customWidth="1"/>
  </cols>
  <sheetData>
    <row r="1" spans="1:1" ht="30" customHeight="1" x14ac:dyDescent="0.35">
      <c r="A1" s="35" t="s">
        <v>130</v>
      </c>
    </row>
    <row r="2" spans="1:1" ht="22" customHeight="1" x14ac:dyDescent="0.35">
      <c r="A2" s="9"/>
    </row>
    <row r="3" spans="1:1" ht="22" customHeight="1" x14ac:dyDescent="0.35">
      <c r="A3" s="10" t="s">
        <v>131</v>
      </c>
    </row>
    <row r="4" spans="1:1" ht="22" customHeight="1" x14ac:dyDescent="0.35">
      <c r="A4" s="10" t="s">
        <v>132</v>
      </c>
    </row>
    <row r="5" spans="1:1" ht="22" customHeight="1" x14ac:dyDescent="0.35">
      <c r="A5" s="10" t="s">
        <v>133</v>
      </c>
    </row>
    <row r="6" spans="1:1" ht="22" customHeight="1" x14ac:dyDescent="0.35">
      <c r="A6" s="10" t="s">
        <v>134</v>
      </c>
    </row>
    <row r="7" spans="1:1" ht="22" customHeight="1" x14ac:dyDescent="0.35">
      <c r="A7" s="10" t="s">
        <v>135</v>
      </c>
    </row>
    <row r="8" spans="1:1" ht="22" customHeight="1" x14ac:dyDescent="0.35">
      <c r="A8" s="10" t="s">
        <v>136</v>
      </c>
    </row>
    <row r="9" spans="1:1" ht="22" customHeight="1" x14ac:dyDescent="0.35">
      <c r="A9" s="10" t="s">
        <v>137</v>
      </c>
    </row>
    <row r="10" spans="1:1" ht="22" customHeight="1" x14ac:dyDescent="0.35">
      <c r="A10" s="10" t="s">
        <v>138</v>
      </c>
    </row>
    <row r="11" spans="1:1" ht="22" customHeight="1" x14ac:dyDescent="0.35">
      <c r="A11" s="11"/>
    </row>
    <row r="12" spans="1:1" ht="22" customHeight="1" x14ac:dyDescent="0.35">
      <c r="A12" s="12" t="s">
        <v>139</v>
      </c>
    </row>
    <row r="13" spans="1:1" ht="22" customHeight="1" x14ac:dyDescent="0.35">
      <c r="A13" s="10" t="s">
        <v>140</v>
      </c>
    </row>
    <row r="14" spans="1:1" ht="22" customHeight="1" x14ac:dyDescent="0.35">
      <c r="A14" s="10" t="s">
        <v>141</v>
      </c>
    </row>
    <row r="15" spans="1:1" ht="22" customHeight="1" x14ac:dyDescent="0.35">
      <c r="A15" s="10" t="s">
        <v>142</v>
      </c>
    </row>
    <row r="16" spans="1:1" ht="22" customHeight="1" x14ac:dyDescent="0.35">
      <c r="A16" s="10" t="s">
        <v>143</v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Evaluation</vt:lpstr>
      <vt:lpstr>Summary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Chinmayi Rane</cp:lastModifiedBy>
  <dcterms:created xsi:type="dcterms:W3CDTF">2026-06-24T11:17:39Z</dcterms:created>
  <dcterms:modified xsi:type="dcterms:W3CDTF">2026-06-30T05:25:40Z</dcterms:modified>
</cp:coreProperties>
</file>